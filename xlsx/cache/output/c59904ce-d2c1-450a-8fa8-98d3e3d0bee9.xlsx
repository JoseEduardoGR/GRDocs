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Resumen" sheetId="2" state="visible" r:id="rId2"/>
    <sheet name="Ventas Mensu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MXN&quot;;(#,##0&quot; MXN&quot;);&quot;-&quot;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CC"/>
      <sz val="10"/>
    </font>
    <font>
      <name val="Calibri"/>
      <b val="1"/>
      <color rgb="000000CC"/>
      <sz val="10"/>
    </font>
    <font>
      <name val="Calibri"/>
      <b val="1"/>
      <color rgb="00FFFFFF"/>
      <sz val="11"/>
    </font>
    <font>
      <name val="Calibri"/>
      <b val="1"/>
      <color rgb="00FFFFFF"/>
      <sz val="15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B5E20"/>
      <sz val="11"/>
    </font>
    <font>
      <name val="Calibri"/>
      <color rgb="000000CC"/>
      <sz val="11"/>
    </font>
    <font>
      <name val="Calibri"/>
      <b val="1"/>
      <color rgb="001B5E20"/>
      <sz val="12"/>
    </font>
  </fonts>
  <fills count="8">
    <fill>
      <patternFill/>
    </fill>
    <fill>
      <patternFill patternType="gray125"/>
    </fill>
    <fill>
      <patternFill patternType="solid">
        <fgColor rgb="001A2D5A"/>
      </patternFill>
    </fill>
    <fill>
      <patternFill patternType="solid">
        <fgColor rgb="002E4A8A"/>
      </patternFill>
    </fill>
    <fill>
      <patternFill patternType="solid">
        <fgColor rgb="00FFFFFF"/>
      </patternFill>
    </fill>
    <fill>
      <patternFill patternType="solid">
        <fgColor rgb="00D6E0F5"/>
      </patternFill>
    </fill>
    <fill>
      <patternFill patternType="solid">
        <fgColor rgb="00FFF9C4"/>
      </patternFill>
    </fill>
    <fill>
      <patternFill patternType="solid">
        <fgColor rgb="00C8E6C9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3A6BC4"/>
      </left>
      <right style="medium">
        <color rgb="003A6BC4"/>
      </right>
      <top style="medium">
        <color rgb="003A6BC4"/>
      </top>
      <bottom style="medium">
        <color rgb="003A6BC4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right" vertical="center"/>
    </xf>
    <xf numFmtId="164" fontId="7" fillId="3" borderId="2" applyAlignment="1" pivotButton="0" quotePrefix="0" xfId="0">
      <alignment horizontal="center" vertical="center"/>
    </xf>
    <xf numFmtId="3" fontId="7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3" fontId="10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3" fontId="10" fillId="4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165" fontId="11" fillId="5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3" fontId="11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3" fontId="12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164" fontId="1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Inventario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'Resumen'!B5</f>
            </strRef>
          </tx>
          <spPr>
            <a:ln>
              <a:prstDash val="solid"/>
            </a:ln>
          </spPr>
          <cat>
            <numRef>
              <f>'Resumen'!$A$6:$A$8</f>
            </numRef>
          </cat>
          <val>
            <numRef>
              <f>'Resumen'!$B$6:$B$8</f>
            </numRef>
          </val>
        </ser>
        <ser>
          <idx val="1"/>
          <order val="1"/>
          <tx>
            <strRef>
              <f>'Resumen'!C5</f>
            </strRef>
          </tx>
          <spPr>
            <a:ln>
              <a:prstDash val="solid"/>
            </a:ln>
          </spPr>
          <cat>
            <numRef>
              <f>'Resumen'!$A$6:$A$8</f>
            </numRef>
          </cat>
          <val>
            <numRef>
              <f>'Resumen'!$C$6:$C$8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Tendencia de Ingresos Mensuales 2024</a:t>
            </a:r>
          </a:p>
        </rich>
      </tx>
    </title>
    <plotArea>
      <lineChart>
        <grouping val="standard"/>
        <ser>
          <idx val="0"/>
          <order val="0"/>
          <tx>
            <strRef>
              <f>'Ventas Mensuales'!C4</f>
            </strRef>
          </tx>
          <spPr>
            <a:ln w="28000">
              <a:solidFill>
                <a:srgbClr val="3A6BC4"/>
              </a:solidFill>
              <a:prstDash val="solid"/>
            </a:ln>
          </spPr>
          <marker>
            <symbol val="circle"/>
            <size val="7"/>
            <spPr>
              <a:solidFill>
                <a:srgbClr val="2E7D32"/>
              </a:solidFill>
              <a:ln>
                <a:prstDash val="solid"/>
              </a:ln>
            </spPr>
          </marker>
          <cat>
            <numRef>
              <f>'Ventas Mensuales'!$A$5:$A$16</f>
            </numRef>
          </cat>
          <val>
            <numRef>
              <f>'Ventas Mensuales'!$C$5:$C$16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Ingresos (MXN)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6" customWidth="1" min="5" max="5"/>
    <col width="10" customWidth="1" min="6" max="6"/>
    <col width="12" customWidth="1" min="7" max="7"/>
    <col width="16" customWidth="1" min="8" max="8"/>
    <col width="16" customWidth="1" min="9" max="9"/>
    <col width="12" customWidth="1" min="10" max="10"/>
    <col width="12" customWidth="1" min="11" max="11"/>
  </cols>
  <sheetData>
    <row r="1" ht="40" customHeight="1">
      <c r="A1" s="1" t="inlineStr">
        <is>
          <t>🎵  CONTROL DE INVENTARIO DE INSTRUMENTOS MUSICALES</t>
        </is>
      </c>
    </row>
    <row r="2" ht="22" customHeight="1">
      <c r="A2" s="2" t="inlineStr">
        <is>
          <t>Gestión y seguimiento de activos musicales</t>
        </is>
      </c>
    </row>
    <row r="3" ht="8" customHeight="1"/>
    <row r="4" ht="28" customHeight="1">
      <c r="A4" s="3" t="inlineStr">
        <is>
          <t>ID</t>
        </is>
      </c>
      <c r="B4" s="3" t="inlineStr">
        <is>
          <t>Nombre del Instrumento</t>
        </is>
      </c>
      <c r="C4" s="3" t="inlineStr">
        <is>
          <t>Categoría</t>
        </is>
      </c>
      <c r="D4" s="3" t="inlineStr">
        <is>
          <t>Marca</t>
        </is>
      </c>
      <c r="E4" s="3" t="inlineStr">
        <is>
          <t>Modelo</t>
        </is>
      </c>
      <c r="F4" s="3" t="inlineStr">
        <is>
          <t>Año Fab.</t>
        </is>
      </c>
      <c r="G4" s="3" t="inlineStr">
        <is>
          <t>Estado</t>
        </is>
      </c>
      <c r="H4" s="3" t="inlineStr">
        <is>
          <t>Precio Compra</t>
        </is>
      </c>
      <c r="I4" s="3" t="inlineStr">
        <is>
          <t>Precio Venta</t>
        </is>
      </c>
      <c r="J4" s="3" t="inlineStr">
        <is>
          <t>Stock Disp.</t>
        </is>
      </c>
      <c r="K4" s="3" t="inlineStr">
        <is>
          <t>Ubicación</t>
        </is>
      </c>
    </row>
    <row r="5" ht="20" customHeight="1">
      <c r="A5" s="4" t="inlineStr">
        <is>
          <t>INS-001</t>
        </is>
      </c>
      <c r="B5" s="5" t="inlineStr">
        <is>
          <t>Guitarra Acústica</t>
        </is>
      </c>
      <c r="C5" s="4" t="inlineStr">
        <is>
          <t>Cuerda</t>
        </is>
      </c>
      <c r="D5" s="5" t="inlineStr">
        <is>
          <t>Yamaha</t>
        </is>
      </c>
      <c r="E5" s="5" t="inlineStr">
        <is>
          <t>FG800</t>
        </is>
      </c>
      <c r="F5" s="4" t="n">
        <v>2022</v>
      </c>
      <c r="G5" s="4" t="inlineStr">
        <is>
          <t>Nuevo</t>
        </is>
      </c>
      <c r="H5" s="6" t="n">
        <v>4200</v>
      </c>
      <c r="I5" s="6" t="n">
        <v>7500</v>
      </c>
      <c r="J5" s="7" t="n">
        <v>8</v>
      </c>
      <c r="K5" s="4" t="inlineStr">
        <is>
          <t>A-01</t>
        </is>
      </c>
    </row>
    <row r="6" ht="20" customHeight="1">
      <c r="A6" s="8" t="inlineStr">
        <is>
          <t>INS-002</t>
        </is>
      </c>
      <c r="B6" s="9" t="inlineStr">
        <is>
          <t>Guitarra Eléctrica</t>
        </is>
      </c>
      <c r="C6" s="8" t="inlineStr">
        <is>
          <t>Cuerda</t>
        </is>
      </c>
      <c r="D6" s="9" t="inlineStr">
        <is>
          <t>Fender</t>
        </is>
      </c>
      <c r="E6" s="9" t="inlineStr">
        <is>
          <t>Stratocaster</t>
        </is>
      </c>
      <c r="F6" s="8" t="n">
        <v>2021</v>
      </c>
      <c r="G6" s="8" t="inlineStr">
        <is>
          <t>Nuevo</t>
        </is>
      </c>
      <c r="H6" s="10" t="n">
        <v>12500</v>
      </c>
      <c r="I6" s="10" t="n">
        <v>22000</v>
      </c>
      <c r="J6" s="11" t="n">
        <v>5</v>
      </c>
      <c r="K6" s="8" t="inlineStr">
        <is>
          <t>A-02</t>
        </is>
      </c>
    </row>
    <row r="7" ht="20" customHeight="1">
      <c r="A7" s="12" t="inlineStr">
        <is>
          <t>INS-003</t>
        </is>
      </c>
      <c r="B7" s="13" t="inlineStr">
        <is>
          <t>Bajo Eléctrico</t>
        </is>
      </c>
      <c r="C7" s="12" t="inlineStr">
        <is>
          <t>Cuerda</t>
        </is>
      </c>
      <c r="D7" s="13" t="inlineStr">
        <is>
          <t>Gibson</t>
        </is>
      </c>
      <c r="E7" s="13" t="inlineStr">
        <is>
          <t>SG Bass</t>
        </is>
      </c>
      <c r="F7" s="12" t="n">
        <v>2020</v>
      </c>
      <c r="G7" s="12" t="inlineStr">
        <is>
          <t>Usado</t>
        </is>
      </c>
      <c r="H7" s="14" t="n">
        <v>9800</v>
      </c>
      <c r="I7" s="14" t="n">
        <v>16500</v>
      </c>
      <c r="J7" s="15" t="n">
        <v>3</v>
      </c>
      <c r="K7" s="12" t="inlineStr">
        <is>
          <t>A-03</t>
        </is>
      </c>
    </row>
    <row r="8" ht="20" customHeight="1">
      <c r="A8" s="8" t="inlineStr">
        <is>
          <t>INS-004</t>
        </is>
      </c>
      <c r="B8" s="9" t="inlineStr">
        <is>
          <t>Violín 4/4</t>
        </is>
      </c>
      <c r="C8" s="8" t="inlineStr">
        <is>
          <t>Cuerda</t>
        </is>
      </c>
      <c r="D8" s="9" t="inlineStr">
        <is>
          <t>Stentor</t>
        </is>
      </c>
      <c r="E8" s="9" t="inlineStr">
        <is>
          <t>Student II</t>
        </is>
      </c>
      <c r="F8" s="8" t="n">
        <v>2023</v>
      </c>
      <c r="G8" s="8" t="inlineStr">
        <is>
          <t>Nuevo</t>
        </is>
      </c>
      <c r="H8" s="10" t="n">
        <v>3500</v>
      </c>
      <c r="I8" s="10" t="n">
        <v>6200</v>
      </c>
      <c r="J8" s="11" t="n">
        <v>10</v>
      </c>
      <c r="K8" s="8" t="inlineStr">
        <is>
          <t>A-04</t>
        </is>
      </c>
    </row>
    <row r="9" ht="20" customHeight="1">
      <c r="A9" s="4" t="inlineStr">
        <is>
          <t>INS-005</t>
        </is>
      </c>
      <c r="B9" s="5" t="inlineStr">
        <is>
          <t>Ukulele Tenor</t>
        </is>
      </c>
      <c r="C9" s="4" t="inlineStr">
        <is>
          <t>Cuerda</t>
        </is>
      </c>
      <c r="D9" s="5" t="inlineStr">
        <is>
          <t>Kala</t>
        </is>
      </c>
      <c r="E9" s="5" t="inlineStr">
        <is>
          <t>KA-T</t>
        </is>
      </c>
      <c r="F9" s="4" t="n">
        <v>2022</v>
      </c>
      <c r="G9" s="4" t="inlineStr">
        <is>
          <t>Nuevo</t>
        </is>
      </c>
      <c r="H9" s="6" t="n">
        <v>1800</v>
      </c>
      <c r="I9" s="6" t="n">
        <v>3200</v>
      </c>
      <c r="J9" s="7" t="n">
        <v>12</v>
      </c>
      <c r="K9" s="4" t="inlineStr">
        <is>
          <t>A-05</t>
        </is>
      </c>
    </row>
    <row r="10" ht="20" customHeight="1">
      <c r="A10" s="8" t="inlineStr">
        <is>
          <t>INS-006</t>
        </is>
      </c>
      <c r="B10" s="9" t="inlineStr">
        <is>
          <t>Guitarra Clásica</t>
        </is>
      </c>
      <c r="C10" s="8" t="inlineStr">
        <is>
          <t>Cuerda</t>
        </is>
      </c>
      <c r="D10" s="9" t="inlineStr">
        <is>
          <t>Cordoba</t>
        </is>
      </c>
      <c r="E10" s="9" t="inlineStr">
        <is>
          <t>C5</t>
        </is>
      </c>
      <c r="F10" s="8" t="n">
        <v>2021</v>
      </c>
      <c r="G10" s="8" t="inlineStr">
        <is>
          <t>Nuevo</t>
        </is>
      </c>
      <c r="H10" s="10" t="n">
        <v>3800</v>
      </c>
      <c r="I10" s="10" t="n">
        <v>6800</v>
      </c>
      <c r="J10" s="11" t="n">
        <v>7</v>
      </c>
      <c r="K10" s="8" t="inlineStr">
        <is>
          <t>A-06</t>
        </is>
      </c>
    </row>
    <row r="11" ht="20" customHeight="1">
      <c r="A11" s="12" t="inlineStr">
        <is>
          <t>INS-007</t>
        </is>
      </c>
      <c r="B11" s="13" t="inlineStr">
        <is>
          <t>Arpa Pedal</t>
        </is>
      </c>
      <c r="C11" s="12" t="inlineStr">
        <is>
          <t>Cuerda</t>
        </is>
      </c>
      <c r="D11" s="13" t="inlineStr">
        <is>
          <t>Lyon &amp; Healy</t>
        </is>
      </c>
      <c r="E11" s="13" t="inlineStr">
        <is>
          <t>Style 23</t>
        </is>
      </c>
      <c r="F11" s="12" t="n">
        <v>2019</v>
      </c>
      <c r="G11" s="12" t="inlineStr">
        <is>
          <t>Usado</t>
        </is>
      </c>
      <c r="H11" s="14" t="n">
        <v>85000</v>
      </c>
      <c r="I11" s="14" t="n">
        <v>145000</v>
      </c>
      <c r="J11" s="15" t="n">
        <v>1</v>
      </c>
      <c r="K11" s="12" t="inlineStr">
        <is>
          <t>A-07</t>
        </is>
      </c>
    </row>
    <row r="12" ht="20" customHeight="1">
      <c r="A12" s="8" t="inlineStr">
        <is>
          <t>INS-008</t>
        </is>
      </c>
      <c r="B12" s="9" t="inlineStr">
        <is>
          <t>Flauta Traversa</t>
        </is>
      </c>
      <c r="C12" s="8" t="inlineStr">
        <is>
          <t>Viento</t>
        </is>
      </c>
      <c r="D12" s="9" t="inlineStr">
        <is>
          <t>Pearl</t>
        </is>
      </c>
      <c r="E12" s="9" t="inlineStr">
        <is>
          <t>PF-505</t>
        </is>
      </c>
      <c r="F12" s="8" t="n">
        <v>2022</v>
      </c>
      <c r="G12" s="8" t="inlineStr">
        <is>
          <t>Nuevo</t>
        </is>
      </c>
      <c r="H12" s="10" t="n">
        <v>5200</v>
      </c>
      <c r="I12" s="10" t="n">
        <v>9500</v>
      </c>
      <c r="J12" s="11" t="n">
        <v>6</v>
      </c>
      <c r="K12" s="8" t="inlineStr">
        <is>
          <t>B-01</t>
        </is>
      </c>
    </row>
    <row r="13" ht="20" customHeight="1">
      <c r="A13" s="12" t="inlineStr">
        <is>
          <t>INS-009</t>
        </is>
      </c>
      <c r="B13" s="13" t="inlineStr">
        <is>
          <t>Clarinete Bb</t>
        </is>
      </c>
      <c r="C13" s="12" t="inlineStr">
        <is>
          <t>Viento</t>
        </is>
      </c>
      <c r="D13" s="13" t="inlineStr">
        <is>
          <t>Buffet Crampon</t>
        </is>
      </c>
      <c r="E13" s="13" t="inlineStr">
        <is>
          <t>E13</t>
        </is>
      </c>
      <c r="F13" s="12" t="n">
        <v>2021</v>
      </c>
      <c r="G13" s="12" t="inlineStr">
        <is>
          <t>Nuevo</t>
        </is>
      </c>
      <c r="H13" s="14" t="n">
        <v>8900</v>
      </c>
      <c r="I13" s="14" t="n">
        <v>15800</v>
      </c>
      <c r="J13" s="15" t="n">
        <v>4</v>
      </c>
      <c r="K13" s="12" t="inlineStr">
        <is>
          <t>B-02</t>
        </is>
      </c>
    </row>
    <row r="14" ht="20" customHeight="1">
      <c r="A14" s="12" t="inlineStr">
        <is>
          <t>INS-010</t>
        </is>
      </c>
      <c r="B14" s="13" t="inlineStr">
        <is>
          <t>Saxofón Alto</t>
        </is>
      </c>
      <c r="C14" s="12" t="inlineStr">
        <is>
          <t>Viento</t>
        </is>
      </c>
      <c r="D14" s="13" t="inlineStr">
        <is>
          <t>Yamaha</t>
        </is>
      </c>
      <c r="E14" s="13" t="inlineStr">
        <is>
          <t>YAS-280</t>
        </is>
      </c>
      <c r="F14" s="12" t="n">
        <v>2022</v>
      </c>
      <c r="G14" s="12" t="inlineStr">
        <is>
          <t>Nuevo</t>
        </is>
      </c>
      <c r="H14" s="14" t="n">
        <v>14500</v>
      </c>
      <c r="I14" s="14" t="n">
        <v>26000</v>
      </c>
      <c r="J14" s="15" t="n">
        <v>3</v>
      </c>
      <c r="K14" s="12" t="inlineStr">
        <is>
          <t>B-03</t>
        </is>
      </c>
    </row>
    <row r="15" ht="20" customHeight="1">
      <c r="A15" s="4" t="inlineStr">
        <is>
          <t>INS-011</t>
        </is>
      </c>
      <c r="B15" s="5" t="inlineStr">
        <is>
          <t>Trompeta Bb</t>
        </is>
      </c>
      <c r="C15" s="4" t="inlineStr">
        <is>
          <t>Viento</t>
        </is>
      </c>
      <c r="D15" s="5" t="inlineStr">
        <is>
          <t>Bach</t>
        </is>
      </c>
      <c r="E15" s="5" t="inlineStr">
        <is>
          <t>TR300H2</t>
        </is>
      </c>
      <c r="F15" s="4" t="n">
        <v>2020</v>
      </c>
      <c r="G15" s="4" t="inlineStr">
        <is>
          <t>Nuevo</t>
        </is>
      </c>
      <c r="H15" s="6" t="n">
        <v>9200</v>
      </c>
      <c r="I15" s="6" t="n">
        <v>16500</v>
      </c>
      <c r="J15" s="7" t="n">
        <v>5</v>
      </c>
      <c r="K15" s="4" t="inlineStr">
        <is>
          <t>B-04</t>
        </is>
      </c>
    </row>
    <row r="16" ht="20" customHeight="1">
      <c r="A16" s="12" t="inlineStr">
        <is>
          <t>INS-012</t>
        </is>
      </c>
      <c r="B16" s="13" t="inlineStr">
        <is>
          <t>Trombón Tenor</t>
        </is>
      </c>
      <c r="C16" s="12" t="inlineStr">
        <is>
          <t>Viento</t>
        </is>
      </c>
      <c r="D16" s="13" t="inlineStr">
        <is>
          <t>Conn-Selmer</t>
        </is>
      </c>
      <c r="E16" s="13" t="inlineStr">
        <is>
          <t>88H</t>
        </is>
      </c>
      <c r="F16" s="12" t="n">
        <v>2019</v>
      </c>
      <c r="G16" s="12" t="inlineStr">
        <is>
          <t>Usado</t>
        </is>
      </c>
      <c r="H16" s="14" t="n">
        <v>18000</v>
      </c>
      <c r="I16" s="14" t="n">
        <v>32000</v>
      </c>
      <c r="J16" s="15" t="n">
        <v>2</v>
      </c>
      <c r="K16" s="12" t="inlineStr">
        <is>
          <t>B-05</t>
        </is>
      </c>
    </row>
    <row r="17" ht="20" customHeight="1">
      <c r="A17" s="12" t="inlineStr">
        <is>
          <t>INS-013</t>
        </is>
      </c>
      <c r="B17" s="13" t="inlineStr">
        <is>
          <t>Oboe</t>
        </is>
      </c>
      <c r="C17" s="12" t="inlineStr">
        <is>
          <t>Viento</t>
        </is>
      </c>
      <c r="D17" s="13" t="inlineStr">
        <is>
          <t>Fox</t>
        </is>
      </c>
      <c r="E17" s="13" t="inlineStr">
        <is>
          <t>Renard 330</t>
        </is>
      </c>
      <c r="F17" s="12" t="n">
        <v>2021</v>
      </c>
      <c r="G17" s="12" t="inlineStr">
        <is>
          <t>Nuevo</t>
        </is>
      </c>
      <c r="H17" s="14" t="n">
        <v>28000</v>
      </c>
      <c r="I17" s="14" t="n">
        <v>48000</v>
      </c>
      <c r="J17" s="15" t="n">
        <v>2</v>
      </c>
      <c r="K17" s="12" t="inlineStr">
        <is>
          <t>B-06</t>
        </is>
      </c>
    </row>
    <row r="18" ht="20" customHeight="1">
      <c r="A18" s="12" t="inlineStr">
        <is>
          <t>INS-014</t>
        </is>
      </c>
      <c r="B18" s="13" t="inlineStr">
        <is>
          <t>Corno Francés</t>
        </is>
      </c>
      <c r="C18" s="12" t="inlineStr">
        <is>
          <t>Viento</t>
        </is>
      </c>
      <c r="D18" s="13" t="inlineStr">
        <is>
          <t>Holton</t>
        </is>
      </c>
      <c r="E18" s="13" t="inlineStr">
        <is>
          <t>H179</t>
        </is>
      </c>
      <c r="F18" s="12" t="n">
        <v>2020</v>
      </c>
      <c r="G18" s="12" t="inlineStr">
        <is>
          <t>Reparación</t>
        </is>
      </c>
      <c r="H18" s="14" t="n">
        <v>22000</v>
      </c>
      <c r="I18" s="14" t="n">
        <v>40000</v>
      </c>
      <c r="J18" s="15" t="n">
        <v>1</v>
      </c>
      <c r="K18" s="12" t="inlineStr">
        <is>
          <t>B-07</t>
        </is>
      </c>
    </row>
    <row r="19" ht="20" customHeight="1">
      <c r="A19" s="12" t="inlineStr">
        <is>
          <t>INS-015</t>
        </is>
      </c>
      <c r="B19" s="13" t="inlineStr">
        <is>
          <t>Batería Completa</t>
        </is>
      </c>
      <c r="C19" s="12" t="inlineStr">
        <is>
          <t>Percusión</t>
        </is>
      </c>
      <c r="D19" s="13" t="inlineStr">
        <is>
          <t>Pearl</t>
        </is>
      </c>
      <c r="E19" s="13" t="inlineStr">
        <is>
          <t>Export</t>
        </is>
      </c>
      <c r="F19" s="12" t="n">
        <v>2022</v>
      </c>
      <c r="G19" s="12" t="inlineStr">
        <is>
          <t>Nuevo</t>
        </is>
      </c>
      <c r="H19" s="14" t="n">
        <v>18500</v>
      </c>
      <c r="I19" s="14" t="n">
        <v>32000</v>
      </c>
      <c r="J19" s="15" t="n">
        <v>4</v>
      </c>
      <c r="K19" s="12" t="inlineStr">
        <is>
          <t>C-01</t>
        </is>
      </c>
    </row>
    <row r="20" ht="20" customHeight="1">
      <c r="A20" s="8" t="inlineStr">
        <is>
          <t>INS-016</t>
        </is>
      </c>
      <c r="B20" s="9" t="inlineStr">
        <is>
          <t>Cajón Flamenco</t>
        </is>
      </c>
      <c r="C20" s="8" t="inlineStr">
        <is>
          <t>Percusión</t>
        </is>
      </c>
      <c r="D20" s="9" t="inlineStr">
        <is>
          <t>LP</t>
        </is>
      </c>
      <c r="E20" s="9" t="inlineStr">
        <is>
          <t>LPA1331</t>
        </is>
      </c>
      <c r="F20" s="8" t="n">
        <v>2023</v>
      </c>
      <c r="G20" s="8" t="inlineStr">
        <is>
          <t>Nuevo</t>
        </is>
      </c>
      <c r="H20" s="10" t="n">
        <v>2200</v>
      </c>
      <c r="I20" s="10" t="n">
        <v>4200</v>
      </c>
      <c r="J20" s="11" t="n">
        <v>9</v>
      </c>
      <c r="K20" s="8" t="inlineStr">
        <is>
          <t>C-02</t>
        </is>
      </c>
    </row>
    <row r="21" ht="20" customHeight="1">
      <c r="A21" s="12" t="inlineStr">
        <is>
          <t>INS-017</t>
        </is>
      </c>
      <c r="B21" s="13" t="inlineStr">
        <is>
          <t>Marimba 4.3 Oct</t>
        </is>
      </c>
      <c r="C21" s="12" t="inlineStr">
        <is>
          <t>Percusión</t>
        </is>
      </c>
      <c r="D21" s="13" t="inlineStr">
        <is>
          <t>Adams</t>
        </is>
      </c>
      <c r="E21" s="13" t="inlineStr">
        <is>
          <t>Soloist</t>
        </is>
      </c>
      <c r="F21" s="12" t="n">
        <v>2021</v>
      </c>
      <c r="G21" s="12" t="inlineStr">
        <is>
          <t>Nuevo</t>
        </is>
      </c>
      <c r="H21" s="14" t="n">
        <v>45000</v>
      </c>
      <c r="I21" s="14" t="n">
        <v>78000</v>
      </c>
      <c r="J21" s="15" t="n">
        <v>1</v>
      </c>
      <c r="K21" s="12" t="inlineStr">
        <is>
          <t>C-03</t>
        </is>
      </c>
    </row>
    <row r="22" ht="20" customHeight="1">
      <c r="A22" s="12" t="inlineStr">
        <is>
          <t>INS-018</t>
        </is>
      </c>
      <c r="B22" s="13" t="inlineStr">
        <is>
          <t>Xilófono</t>
        </is>
      </c>
      <c r="C22" s="12" t="inlineStr">
        <is>
          <t>Percusión</t>
        </is>
      </c>
      <c r="D22" s="13" t="inlineStr">
        <is>
          <t>Sonor</t>
        </is>
      </c>
      <c r="E22" s="13" t="inlineStr">
        <is>
          <t>GS Play</t>
        </is>
      </c>
      <c r="F22" s="12" t="n">
        <v>2022</v>
      </c>
      <c r="G22" s="12" t="inlineStr">
        <is>
          <t>Nuevo</t>
        </is>
      </c>
      <c r="H22" s="14" t="n">
        <v>8500</v>
      </c>
      <c r="I22" s="14" t="n">
        <v>15000</v>
      </c>
      <c r="J22" s="15" t="n">
        <v>3</v>
      </c>
      <c r="K22" s="12" t="inlineStr">
        <is>
          <t>C-04</t>
        </is>
      </c>
    </row>
    <row r="23" ht="20" customHeight="1">
      <c r="A23" s="4" t="inlineStr">
        <is>
          <t>INS-019</t>
        </is>
      </c>
      <c r="B23" s="5" t="inlineStr">
        <is>
          <t>Bongos</t>
        </is>
      </c>
      <c r="C23" s="4" t="inlineStr">
        <is>
          <t>Percusión</t>
        </is>
      </c>
      <c r="D23" s="5" t="inlineStr">
        <is>
          <t>Meinl</t>
        </is>
      </c>
      <c r="E23" s="5" t="inlineStr">
        <is>
          <t>Headliner</t>
        </is>
      </c>
      <c r="F23" s="4" t="n">
        <v>2023</v>
      </c>
      <c r="G23" s="4" t="inlineStr">
        <is>
          <t>Nuevo</t>
        </is>
      </c>
      <c r="H23" s="6" t="n">
        <v>1400</v>
      </c>
      <c r="I23" s="6" t="n">
        <v>2800</v>
      </c>
      <c r="J23" s="7" t="n">
        <v>15</v>
      </c>
      <c r="K23" s="4" t="inlineStr">
        <is>
          <t>C-05</t>
        </is>
      </c>
    </row>
    <row r="24" ht="20" customHeight="1">
      <c r="A24" s="12" t="inlineStr">
        <is>
          <t>INS-020</t>
        </is>
      </c>
      <c r="B24" s="13" t="inlineStr">
        <is>
          <t>Timbales Orq.</t>
        </is>
      </c>
      <c r="C24" s="12" t="inlineStr">
        <is>
          <t>Percusión</t>
        </is>
      </c>
      <c r="D24" s="13" t="inlineStr">
        <is>
          <t>Ludwig</t>
        </is>
      </c>
      <c r="E24" s="13" t="inlineStr">
        <is>
          <t>LKS625FG</t>
        </is>
      </c>
      <c r="F24" s="12" t="n">
        <v>2020</v>
      </c>
      <c r="G24" s="12" t="inlineStr">
        <is>
          <t>Usado</t>
        </is>
      </c>
      <c r="H24" s="14" t="n">
        <v>35000</v>
      </c>
      <c r="I24" s="14" t="n">
        <v>60000</v>
      </c>
      <c r="J24" s="15" t="n">
        <v>2</v>
      </c>
      <c r="K24" s="12" t="inlineStr">
        <is>
          <t>C-06</t>
        </is>
      </c>
    </row>
    <row r="25" ht="24" customHeight="1">
      <c r="A25" s="16" t="inlineStr">
        <is>
          <t>TOTALES</t>
        </is>
      </c>
      <c r="H25" s="17">
        <f>SUM(H5:H24)</f>
        <v/>
      </c>
      <c r="I25" s="17">
        <f>SUM(I5:I24)</f>
        <v/>
      </c>
      <c r="J25" s="18">
        <f>SUM(J5:J24)</f>
        <v/>
      </c>
      <c r="K25" s="19" t="n"/>
    </row>
  </sheetData>
  <mergeCells count="3">
    <mergeCell ref="A2:K2"/>
    <mergeCell ref="A1:K1"/>
    <mergeCell ref="A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0" customWidth="1" min="4" max="4"/>
    <col width="2" customWidth="1" min="5" max="5"/>
    <col width="2" customWidth="1" min="6" max="6"/>
    <col width="14" customWidth="1" min="7" max="7"/>
  </cols>
  <sheetData>
    <row r="1" ht="38" customHeight="1">
      <c r="A1" s="20" t="inlineStr">
        <is>
          <t>📊  RESUMEN EJECUTIVO — INVENTARIO MUSICAL</t>
        </is>
      </c>
    </row>
    <row r="2" ht="20" customHeight="1">
      <c r="A2" s="2" t="inlineStr">
        <is>
          <t>Indicadores clave de gestión de inventario</t>
        </is>
      </c>
    </row>
    <row r="4" ht="24" customHeight="1">
      <c r="A4" s="21" t="inlineStr">
        <is>
          <t>INVENTARIO POR CATEGORÍA</t>
        </is>
      </c>
    </row>
    <row r="5" ht="22" customHeight="1">
      <c r="A5" s="22" t="inlineStr">
        <is>
          <t>Categoría</t>
        </is>
      </c>
      <c r="B5" s="22" t="inlineStr">
        <is>
          <t>Cantidad (Items)</t>
        </is>
      </c>
      <c r="C5" s="22" t="inlineStr">
        <is>
          <t>Stock Total</t>
        </is>
      </c>
      <c r="D5" s="22" t="inlineStr">
        <is>
          <t>Valor Inventario</t>
        </is>
      </c>
    </row>
    <row r="6" ht="20" customHeight="1">
      <c r="A6" s="23" t="inlineStr">
        <is>
          <t>Cuerda</t>
        </is>
      </c>
      <c r="B6" s="24">
        <f>COUNTIF(Inventario!C5:C24,A6)</f>
        <v/>
      </c>
      <c r="C6" s="24">
        <f>SUMIF(Inventario!C5:C24,A6,Inventario!J5:J24)</f>
        <v/>
      </c>
      <c r="D6" s="25">
        <f>SUMPRODUCT((Inventario!C5:C24=A6)*(Inventario!I5:I24)*(Inventario!J5:J24))</f>
        <v/>
      </c>
    </row>
    <row r="7" ht="20" customHeight="1">
      <c r="A7" s="26" t="inlineStr">
        <is>
          <t>Viento</t>
        </is>
      </c>
      <c r="B7" s="27">
        <f>COUNTIF(Inventario!C5:C24,A7)</f>
        <v/>
      </c>
      <c r="C7" s="27">
        <f>SUMIF(Inventario!C5:C24,A7,Inventario!J5:J24)</f>
        <v/>
      </c>
      <c r="D7" s="28">
        <f>SUMPRODUCT((Inventario!C5:C24=A7)*(Inventario!I5:I24)*(Inventario!J5:J24))</f>
        <v/>
      </c>
    </row>
    <row r="8" ht="20" customHeight="1">
      <c r="A8" s="23" t="inlineStr">
        <is>
          <t>Percusión</t>
        </is>
      </c>
      <c r="B8" s="24">
        <f>COUNTIF(Inventario!C5:C24,A8)</f>
        <v/>
      </c>
      <c r="C8" s="24">
        <f>SUMIF(Inventario!C5:C24,A8,Inventario!J5:J24)</f>
        <v/>
      </c>
      <c r="D8" s="25">
        <f>SUMPRODUCT((Inventario!C5:C24=A8)*(Inventario!I5:I24)*(Inventario!J5:J24))</f>
        <v/>
      </c>
    </row>
    <row r="9" ht="24" customHeight="1">
      <c r="A9" s="29" t="inlineStr">
        <is>
          <t>TOTAL GENERAL</t>
        </is>
      </c>
      <c r="B9" s="18">
        <f>SUM(B6:B8)</f>
        <v/>
      </c>
      <c r="C9" s="18">
        <f>SUM(C6:C8)</f>
        <v/>
      </c>
      <c r="D9" s="17">
        <f>SUM(D6:D8)</f>
        <v/>
      </c>
    </row>
    <row r="11" ht="24" customHeight="1">
      <c r="A11" s="21" t="inlineStr">
        <is>
          <t>INDICADORES CLAVE DE INVENTARIO</t>
        </is>
      </c>
    </row>
    <row r="12" ht="22" customHeight="1">
      <c r="A12" s="30" t="inlineStr">
        <is>
          <t>Valor Total Inventario (Costo)</t>
        </is>
      </c>
      <c r="D12" s="25">
        <f>SUMPRODUCT(Inventario!H5:H24,Inventario!J5:J24)</f>
        <v/>
      </c>
    </row>
    <row r="13" ht="22" customHeight="1">
      <c r="A13" s="31" t="inlineStr">
        <is>
          <t>Valor Total Inventario (Venta)</t>
        </is>
      </c>
      <c r="D13" s="28">
        <f>SUMPRODUCT(Inventario!I5:I24,Inventario!J5:J24)</f>
        <v/>
      </c>
    </row>
    <row r="14" ht="22" customHeight="1">
      <c r="A14" s="30" t="inlineStr">
        <is>
          <t>Margen Promedio</t>
        </is>
      </c>
      <c r="D14" s="32">
        <f>IFERROR((SUMPRODUCT(Inventario!I5:I24,Inventario!J5:J24)-SUMPRODUCT(Inventario!H5:H24,Inventario!J5:J24))/SUMPRODUCT(Inventario!H5:H24,Inventario!J5:J24),0)</f>
        <v/>
      </c>
    </row>
    <row r="15" ht="22" customHeight="1">
      <c r="A15" s="31" t="inlineStr">
        <is>
          <t>Total Instrumentos en Catálogo</t>
        </is>
      </c>
      <c r="D15" s="33">
        <f>COUNTA(Inventario!A5:A24)</f>
        <v/>
      </c>
    </row>
    <row r="16" ht="22" customHeight="1">
      <c r="A16" s="34" t="inlineStr">
        <is>
          <t>Instrumentos con Stock &lt; 5</t>
        </is>
      </c>
      <c r="D16" s="35">
        <f>COUNTIF(Inventario!J5:J24,"&lt;5")</f>
        <v/>
      </c>
    </row>
    <row r="17" ht="22" customHeight="1">
      <c r="A17" s="34" t="inlineStr">
        <is>
          <t>Instrumentos en Reparación</t>
        </is>
      </c>
      <c r="D17" s="35">
        <f>COUNTIF(Inventario!G5:G24,"Reparación")</f>
        <v/>
      </c>
    </row>
    <row r="19" ht="24" customHeight="1">
      <c r="A19" s="21" t="inlineStr">
        <is>
          <t>TOP 5 — INSTRUMENTOS MÁS CAROS (PRECIO VENTA)</t>
        </is>
      </c>
    </row>
    <row r="20" ht="22" customHeight="1">
      <c r="A20" s="22" t="inlineStr">
        <is>
          <t>#</t>
        </is>
      </c>
      <c r="B20" s="22" t="inlineStr">
        <is>
          <t>Instrumento</t>
        </is>
      </c>
      <c r="C20" s="22" t="inlineStr">
        <is>
          <t>Categoría</t>
        </is>
      </c>
      <c r="D20" s="22" t="inlineStr">
        <is>
          <t>Precio Venta</t>
        </is>
      </c>
    </row>
    <row r="21" ht="20" customHeight="1">
      <c r="A21" s="26" t="n">
        <v>1</v>
      </c>
      <c r="B21" s="36">
        <f>IFERROR(INDEX(Inventario!B5:B24,MATCH(LARGE(Inventario!I5:I24,1),Inventario!I5:I24,0)),"N/A")</f>
        <v/>
      </c>
      <c r="C21" s="37">
        <f>IFERROR(INDEX(Inventario!C5:C24,MATCH(LARGE(Inventario!I5:I24,1),Inventario!I5:I24,0)),"N/A")</f>
        <v/>
      </c>
      <c r="D21" s="28">
        <f>IFERROR(LARGE(Inventario!I5:I24,1),0)</f>
        <v/>
      </c>
    </row>
    <row r="22" ht="20" customHeight="1">
      <c r="A22" s="23" t="n">
        <v>2</v>
      </c>
      <c r="B22" s="38">
        <f>IFERROR(INDEX(Inventario!B5:B24,MATCH(LARGE(Inventario!I5:I24,2),Inventario!I5:I24,0)),"N/A")</f>
        <v/>
      </c>
      <c r="C22" s="39">
        <f>IFERROR(INDEX(Inventario!C5:C24,MATCH(LARGE(Inventario!I5:I24,2),Inventario!I5:I24,0)),"N/A")</f>
        <v/>
      </c>
      <c r="D22" s="25">
        <f>IFERROR(LARGE(Inventario!I5:I24,2),0)</f>
        <v/>
      </c>
    </row>
    <row r="23" ht="20" customHeight="1">
      <c r="A23" s="26" t="n">
        <v>3</v>
      </c>
      <c r="B23" s="36">
        <f>IFERROR(INDEX(Inventario!B5:B24,MATCH(LARGE(Inventario!I5:I24,3),Inventario!I5:I24,0)),"N/A")</f>
        <v/>
      </c>
      <c r="C23" s="37">
        <f>IFERROR(INDEX(Inventario!C5:C24,MATCH(LARGE(Inventario!I5:I24,3),Inventario!I5:I24,0)),"N/A")</f>
        <v/>
      </c>
      <c r="D23" s="28">
        <f>IFERROR(LARGE(Inventario!I5:I24,3),0)</f>
        <v/>
      </c>
    </row>
    <row r="24" ht="20" customHeight="1">
      <c r="A24" s="23" t="n">
        <v>4</v>
      </c>
      <c r="B24" s="38">
        <f>IFERROR(INDEX(Inventario!B5:B24,MATCH(LARGE(Inventario!I5:I24,4),Inventario!I5:I24,0)),"N/A")</f>
        <v/>
      </c>
      <c r="C24" s="39">
        <f>IFERROR(INDEX(Inventario!C5:C24,MATCH(LARGE(Inventario!I5:I24,4),Inventario!I5:I24,0)),"N/A")</f>
        <v/>
      </c>
      <c r="D24" s="25">
        <f>IFERROR(LARGE(Inventario!I5:I24,4),0)</f>
        <v/>
      </c>
    </row>
    <row r="25" ht="20" customHeight="1">
      <c r="A25" s="26" t="n">
        <v>5</v>
      </c>
      <c r="B25" s="36">
        <f>IFERROR(INDEX(Inventario!B5:B24,MATCH(LARGE(Inventario!I5:I24,5),Inventario!I5:I24,0)),"N/A")</f>
        <v/>
      </c>
      <c r="C25" s="37">
        <f>IFERROR(INDEX(Inventario!C5:C24,MATCH(LARGE(Inventario!I5:I24,5),Inventario!I5:I24,0)),"N/A")</f>
        <v/>
      </c>
      <c r="D25" s="28">
        <f>IFERROR(LARGE(Inventario!I5:I24,5),0)</f>
        <v/>
      </c>
    </row>
  </sheetData>
  <mergeCells count="11">
    <mergeCell ref="A1:H1"/>
    <mergeCell ref="A13:C13"/>
    <mergeCell ref="A4:D4"/>
    <mergeCell ref="A2:H2"/>
    <mergeCell ref="A14:C14"/>
    <mergeCell ref="A17:C17"/>
    <mergeCell ref="A19:D19"/>
    <mergeCell ref="A11:D11"/>
    <mergeCell ref="A12:C12"/>
    <mergeCell ref="A16:C16"/>
    <mergeCell ref="A15:C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18" customWidth="1" min="5" max="5"/>
    <col width="14" customWidth="1" min="6" max="6"/>
  </cols>
  <sheetData>
    <row r="1" ht="38" customHeight="1">
      <c r="A1" s="20" t="inlineStr">
        <is>
          <t>📈  VENTAS MENSUALES — EJERCICIO 2024</t>
        </is>
      </c>
    </row>
    <row r="2" ht="20" customHeight="1">
      <c r="A2" s="2" t="inlineStr">
        <is>
          <t>Análisis de tendencia de ingresos por mes</t>
        </is>
      </c>
    </row>
    <row r="4" ht="32" customHeight="1">
      <c r="A4" s="40" t="inlineStr">
        <is>
          <t>Mes</t>
        </is>
      </c>
      <c r="B4" s="40" t="inlineStr">
        <is>
          <t>Unidades Vendidas</t>
        </is>
      </c>
      <c r="C4" s="40" t="inlineStr">
        <is>
          <t>Ingresos Brutos</t>
        </is>
      </c>
      <c r="D4" s="40" t="inlineStr">
        <is>
          <t>Promedio x Unidad</t>
        </is>
      </c>
      <c r="E4" s="40" t="inlineStr">
        <is>
          <t>Var. vs Mes Ant.</t>
        </is>
      </c>
      <c r="F4" s="40" t="inlineStr">
        <is>
          <t>% Variación</t>
        </is>
      </c>
    </row>
    <row r="5" ht="22" customHeight="1">
      <c r="A5" s="26" t="inlineStr">
        <is>
          <t>Ene 2024</t>
        </is>
      </c>
      <c r="B5" s="41" t="n">
        <v>18</v>
      </c>
      <c r="C5" s="42" t="n">
        <v>145000</v>
      </c>
      <c r="D5" s="43">
        <f>IFERROR(C5/B5,0)</f>
        <v/>
      </c>
      <c r="E5" s="37" t="inlineStr">
        <is>
          <t>-</t>
        </is>
      </c>
      <c r="F5" s="37" t="inlineStr">
        <is>
          <t>-</t>
        </is>
      </c>
    </row>
    <row r="6" ht="22" customHeight="1">
      <c r="A6" s="23" t="inlineStr">
        <is>
          <t>Feb 2024</t>
        </is>
      </c>
      <c r="B6" s="44" t="n">
        <v>22</v>
      </c>
      <c r="C6" s="45" t="n">
        <v>178000</v>
      </c>
      <c r="D6" s="46">
        <f>IFERROR(C6/B6,0)</f>
        <v/>
      </c>
      <c r="E6" s="46">
        <f>C6-C5</f>
        <v/>
      </c>
      <c r="F6" s="47">
        <f>IFERROR((C6-C5)/C5,0)</f>
        <v/>
      </c>
    </row>
    <row r="7" ht="22" customHeight="1">
      <c r="A7" s="26" t="inlineStr">
        <is>
          <t>Mar 2024</t>
        </is>
      </c>
      <c r="B7" s="41" t="n">
        <v>31</v>
      </c>
      <c r="C7" s="42" t="n">
        <v>265000</v>
      </c>
      <c r="D7" s="43">
        <f>IFERROR(C7/B7,0)</f>
        <v/>
      </c>
      <c r="E7" s="43">
        <f>C7-C6</f>
        <v/>
      </c>
      <c r="F7" s="48">
        <f>IFERROR((C7-C6)/C6,0)</f>
        <v/>
      </c>
    </row>
    <row r="8" ht="22" customHeight="1">
      <c r="A8" s="23" t="inlineStr">
        <is>
          <t>Abr 2024</t>
        </is>
      </c>
      <c r="B8" s="44" t="n">
        <v>27</v>
      </c>
      <c r="C8" s="45" t="n">
        <v>218000</v>
      </c>
      <c r="D8" s="46">
        <f>IFERROR(C8/B8,0)</f>
        <v/>
      </c>
      <c r="E8" s="46">
        <f>C8-C7</f>
        <v/>
      </c>
      <c r="F8" s="47">
        <f>IFERROR((C8-C7)/C7,0)</f>
        <v/>
      </c>
    </row>
    <row r="9" ht="22" customHeight="1">
      <c r="A9" s="26" t="inlineStr">
        <is>
          <t>May 2024</t>
        </is>
      </c>
      <c r="B9" s="41" t="n">
        <v>35</v>
      </c>
      <c r="C9" s="42" t="n">
        <v>312000</v>
      </c>
      <c r="D9" s="43">
        <f>IFERROR(C9/B9,0)</f>
        <v/>
      </c>
      <c r="E9" s="43">
        <f>C9-C8</f>
        <v/>
      </c>
      <c r="F9" s="48">
        <f>IFERROR((C9-C8)/C8,0)</f>
        <v/>
      </c>
    </row>
    <row r="10" ht="22" customHeight="1">
      <c r="A10" s="23" t="inlineStr">
        <is>
          <t>Jun 2024</t>
        </is>
      </c>
      <c r="B10" s="44" t="n">
        <v>42</v>
      </c>
      <c r="C10" s="45" t="n">
        <v>380000</v>
      </c>
      <c r="D10" s="46">
        <f>IFERROR(C10/B10,0)</f>
        <v/>
      </c>
      <c r="E10" s="46">
        <f>C10-C9</f>
        <v/>
      </c>
      <c r="F10" s="47">
        <f>IFERROR((C10-C9)/C9,0)</f>
        <v/>
      </c>
    </row>
    <row r="11" ht="22" customHeight="1">
      <c r="A11" s="26" t="inlineStr">
        <is>
          <t>Jul 2024</t>
        </is>
      </c>
      <c r="B11" s="41" t="n">
        <v>38</v>
      </c>
      <c r="C11" s="42" t="n">
        <v>345000</v>
      </c>
      <c r="D11" s="43">
        <f>IFERROR(C11/B11,0)</f>
        <v/>
      </c>
      <c r="E11" s="43">
        <f>C11-C10</f>
        <v/>
      </c>
      <c r="F11" s="48">
        <f>IFERROR((C11-C10)/C10,0)</f>
        <v/>
      </c>
    </row>
    <row r="12" ht="22" customHeight="1">
      <c r="A12" s="23" t="inlineStr">
        <is>
          <t>Ago 2024</t>
        </is>
      </c>
      <c r="B12" s="44" t="n">
        <v>29</v>
      </c>
      <c r="C12" s="45" t="n">
        <v>258000</v>
      </c>
      <c r="D12" s="46">
        <f>IFERROR(C12/B12,0)</f>
        <v/>
      </c>
      <c r="E12" s="46">
        <f>C12-C11</f>
        <v/>
      </c>
      <c r="F12" s="47">
        <f>IFERROR((C12-C11)/C11,0)</f>
        <v/>
      </c>
    </row>
    <row r="13" ht="22" customHeight="1">
      <c r="A13" s="26" t="inlineStr">
        <is>
          <t>Sep 2024</t>
        </is>
      </c>
      <c r="B13" s="41" t="n">
        <v>33</v>
      </c>
      <c r="C13" s="42" t="n">
        <v>295000</v>
      </c>
      <c r="D13" s="43">
        <f>IFERROR(C13/B13,0)</f>
        <v/>
      </c>
      <c r="E13" s="43">
        <f>C13-C12</f>
        <v/>
      </c>
      <c r="F13" s="48">
        <f>IFERROR((C13-C12)/C12,0)</f>
        <v/>
      </c>
    </row>
    <row r="14" ht="22" customHeight="1">
      <c r="A14" s="23" t="inlineStr">
        <is>
          <t>Oct 2024</t>
        </is>
      </c>
      <c r="B14" s="44" t="n">
        <v>45</v>
      </c>
      <c r="C14" s="45" t="n">
        <v>415000</v>
      </c>
      <c r="D14" s="46">
        <f>IFERROR(C14/B14,0)</f>
        <v/>
      </c>
      <c r="E14" s="46">
        <f>C14-C13</f>
        <v/>
      </c>
      <c r="F14" s="47">
        <f>IFERROR((C14-C13)/C13,0)</f>
        <v/>
      </c>
    </row>
    <row r="15" ht="22" customHeight="1">
      <c r="A15" s="26" t="inlineStr">
        <is>
          <t>Nov 2024</t>
        </is>
      </c>
      <c r="B15" s="41" t="n">
        <v>52</v>
      </c>
      <c r="C15" s="42" t="n">
        <v>480000</v>
      </c>
      <c r="D15" s="43">
        <f>IFERROR(C15/B15,0)</f>
        <v/>
      </c>
      <c r="E15" s="43">
        <f>C15-C14</f>
        <v/>
      </c>
      <c r="F15" s="48">
        <f>IFERROR((C15-C14)/C14,0)</f>
        <v/>
      </c>
    </row>
    <row r="16" ht="22" customHeight="1">
      <c r="A16" s="23" t="inlineStr">
        <is>
          <t>Dic 2024</t>
        </is>
      </c>
      <c r="B16" s="44" t="n">
        <v>61</v>
      </c>
      <c r="C16" s="45" t="n">
        <v>570000</v>
      </c>
      <c r="D16" s="46">
        <f>IFERROR(C16/B16,0)</f>
        <v/>
      </c>
      <c r="E16" s="46">
        <f>C16-C15</f>
        <v/>
      </c>
      <c r="F16" s="47">
        <f>IFERROR((C16-C15)/C15,0)</f>
        <v/>
      </c>
    </row>
    <row r="17" ht="26" customHeight="1">
      <c r="A17" s="29" t="inlineStr">
        <is>
          <t>TOTAL / PROMEDIO</t>
        </is>
      </c>
      <c r="B17" s="18">
        <f>SUM(B5:B16)</f>
        <v/>
      </c>
      <c r="C17" s="17">
        <f>SUM(C5:C16)</f>
        <v/>
      </c>
      <c r="D17" s="17">
        <f>AVERAGE(D5:D16)</f>
        <v/>
      </c>
      <c r="E17" s="19" t="n"/>
      <c r="F17" s="19" t="n"/>
    </row>
    <row r="19" ht="28" customHeight="1">
      <c r="A19" s="49" t="inlineStr">
        <is>
          <t>Promedio Mensual de Ingresos</t>
        </is>
      </c>
      <c r="D19" s="50">
        <f>AVERAGE(C5:C16)</f>
        <v/>
      </c>
    </row>
  </sheetData>
  <mergeCells count="3">
    <mergeCell ref="A2:F2"/>
    <mergeCell ref="A19:C19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2026-05-10T21:18:03Z</dcterms:created>
  <dcterms:modified xsi:type="dcterms:W3CDTF">2026-05-10T21:18:03Z</dcterms:modified>
</cp:coreProperties>
</file>